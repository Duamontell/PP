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s2\CLionProjects\PP_lab2\"/>
    </mc:Choice>
  </mc:AlternateContent>
  <xr:revisionPtr revIDLastSave="0" documentId="13_ncr:1_{2D013095-36E3-4EE3-B76A-464A4015A012}" xr6:coauthVersionLast="47" xr6:coauthVersionMax="47" xr10:uidLastSave="{00000000-0000-0000-0000-000000000000}"/>
  <bookViews>
    <workbookView xWindow="-108" yWindow="-108" windowWidth="23256" windowHeight="13896" xr2:uid="{4DED6A6B-525B-43E0-B86F-AEE41AAD3F0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0" i="1" l="1"/>
  <c r="D71" i="1"/>
  <c r="D72" i="1"/>
  <c r="E72" i="1" s="1"/>
  <c r="D73" i="1"/>
  <c r="E73" i="1" s="1"/>
  <c r="D74" i="1"/>
  <c r="D75" i="1"/>
  <c r="E75" i="1" s="1"/>
  <c r="D76" i="1"/>
  <c r="E76" i="1" s="1"/>
  <c r="D77" i="1"/>
  <c r="E77" i="1" s="1"/>
  <c r="D78" i="1"/>
  <c r="E78" i="1" s="1"/>
  <c r="D79" i="1"/>
  <c r="D80" i="1"/>
  <c r="E80" i="1" s="1"/>
  <c r="D81" i="1"/>
  <c r="E81" i="1" s="1"/>
  <c r="D82" i="1"/>
  <c r="E82" i="1" s="1"/>
  <c r="D83" i="1"/>
  <c r="D84" i="1"/>
  <c r="D49" i="1"/>
  <c r="E49" i="1" s="1"/>
  <c r="D50" i="1"/>
  <c r="D51" i="1"/>
  <c r="E51" i="1" s="1"/>
  <c r="D52" i="1"/>
  <c r="E52" i="1" s="1"/>
  <c r="D53" i="1"/>
  <c r="D54" i="1"/>
  <c r="E54" i="1" s="1"/>
  <c r="D55" i="1"/>
  <c r="E55" i="1" s="1"/>
  <c r="D56" i="1"/>
  <c r="E56" i="1" s="1"/>
  <c r="D57" i="1"/>
  <c r="E57" i="1" s="1"/>
  <c r="D58" i="1"/>
  <c r="E58" i="1" s="1"/>
  <c r="D59" i="1"/>
  <c r="D60" i="1"/>
  <c r="E60" i="1" s="1"/>
  <c r="D61" i="1"/>
  <c r="D62" i="1"/>
  <c r="D63" i="1"/>
  <c r="E63" i="1" s="1"/>
  <c r="D69" i="1"/>
  <c r="E69" i="1" s="1"/>
  <c r="D48" i="1"/>
  <c r="E48" i="1" s="1"/>
  <c r="E28" i="1"/>
  <c r="E27" i="1"/>
  <c r="D31" i="1"/>
  <c r="D28" i="1"/>
  <c r="D29" i="1"/>
  <c r="D30" i="1"/>
  <c r="D32" i="1"/>
  <c r="D33" i="1"/>
  <c r="E33" i="1" s="1"/>
  <c r="D34" i="1"/>
  <c r="D35" i="1"/>
  <c r="D36" i="1"/>
  <c r="E36" i="1" s="1"/>
  <c r="D37" i="1"/>
  <c r="E37" i="1" s="1"/>
  <c r="D38" i="1"/>
  <c r="E38" i="1" s="1"/>
  <c r="D39" i="1"/>
  <c r="E39" i="1" s="1"/>
  <c r="D40" i="1"/>
  <c r="D41" i="1"/>
  <c r="D42" i="1"/>
  <c r="D27" i="1"/>
  <c r="E32" i="1"/>
  <c r="E30" i="1"/>
  <c r="E31" i="1"/>
  <c r="E42" i="1"/>
  <c r="E84" i="1"/>
  <c r="E83" i="1"/>
  <c r="E79" i="1"/>
  <c r="E74" i="1"/>
  <c r="E71" i="1"/>
  <c r="E70" i="1"/>
  <c r="E62" i="1"/>
  <c r="E61" i="1"/>
  <c r="E59" i="1"/>
  <c r="E53" i="1"/>
  <c r="E50" i="1"/>
  <c r="E41" i="1"/>
  <c r="E40" i="1"/>
  <c r="E35" i="1"/>
  <c r="E34" i="1"/>
  <c r="E29" i="1"/>
  <c r="E21" i="1"/>
  <c r="E7" i="1"/>
  <c r="E8" i="1"/>
  <c r="E9" i="1"/>
  <c r="E10" i="1"/>
  <c r="E11" i="1"/>
  <c r="E12" i="1"/>
  <c r="E14" i="1"/>
  <c r="E15" i="1"/>
  <c r="E16" i="1"/>
  <c r="E17" i="1"/>
  <c r="E18" i="1"/>
  <c r="E19" i="1"/>
  <c r="E20" i="1"/>
  <c r="E6" i="1"/>
  <c r="D9" i="1"/>
  <c r="D8" i="1"/>
  <c r="D10" i="1"/>
  <c r="D11" i="1"/>
  <c r="D12" i="1"/>
  <c r="D13" i="1"/>
  <c r="E13" i="1" s="1"/>
  <c r="D14" i="1"/>
  <c r="D15" i="1"/>
  <c r="D16" i="1"/>
  <c r="D17" i="1"/>
  <c r="D18" i="1"/>
  <c r="D19" i="1"/>
  <c r="D20" i="1"/>
  <c r="D21" i="1"/>
  <c r="D7" i="1"/>
  <c r="D6" i="1"/>
</calcChain>
</file>

<file path=xl/sharedStrings.xml><?xml version="1.0" encoding="utf-8"?>
<sst xmlns="http://schemas.openxmlformats.org/spreadsheetml/2006/main" count="20" uniqueCount="8">
  <si>
    <t>1-процессорная система</t>
  </si>
  <si>
    <t>Кол-во потоков</t>
  </si>
  <si>
    <t>Время выполнения</t>
  </si>
  <si>
    <t>Ускорение</t>
  </si>
  <si>
    <t>Эффективность распараллеливания</t>
  </si>
  <si>
    <t>2-процессорная система</t>
  </si>
  <si>
    <t>3-процессорная система</t>
  </si>
  <si>
    <t>4-процессорная система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</si>
</sst>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0"/>
      </top>
      <bottom/>
      <diagonal/>
    </border>
    <border>
      <left style="medium">
        <color theme="1"/>
      </left>
      <right style="medium">
        <color theme="1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thin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 wrapText="1"/>
    </xf>
    <xf numFmtId="169" fontId="0" fillId="0" borderId="14" xfId="0" applyNumberFormat="1" applyBorder="1" applyAlignment="1">
      <alignment horizontal="center" vertical="center" wrapText="1"/>
    </xf>
    <xf numFmtId="169" fontId="0" fillId="0" borderId="15" xfId="0" applyNumberFormat="1" applyBorder="1" applyAlignment="1">
      <alignment horizontal="center" vertical="center" wrapText="1"/>
    </xf>
    <xf numFmtId="169" fontId="0" fillId="0" borderId="17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2" fontId="0" fillId="0" borderId="18" xfId="0" applyNumberFormat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выполниния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Лист1!$B$6:$B$21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Лист1!$C$6:$C$21</c:f>
              <c:numCache>
                <c:formatCode>0.000</c:formatCode>
                <c:ptCount val="16"/>
                <c:pt idx="0">
                  <c:v>0.54800000000000004</c:v>
                </c:pt>
                <c:pt idx="1">
                  <c:v>0.53200000000000003</c:v>
                </c:pt>
                <c:pt idx="2">
                  <c:v>0.55400000000000005</c:v>
                </c:pt>
                <c:pt idx="3">
                  <c:v>0.53</c:v>
                </c:pt>
                <c:pt idx="4">
                  <c:v>0.54700000000000004</c:v>
                </c:pt>
                <c:pt idx="5">
                  <c:v>0.53900000000000003</c:v>
                </c:pt>
                <c:pt idx="6">
                  <c:v>0.55100000000000005</c:v>
                </c:pt>
                <c:pt idx="7">
                  <c:v>0.53700000000000003</c:v>
                </c:pt>
                <c:pt idx="8">
                  <c:v>0.55300000000000005</c:v>
                </c:pt>
                <c:pt idx="9">
                  <c:v>0.52800000000000002</c:v>
                </c:pt>
                <c:pt idx="10">
                  <c:v>0.54</c:v>
                </c:pt>
                <c:pt idx="11">
                  <c:v>0.54200000000000004</c:v>
                </c:pt>
                <c:pt idx="12">
                  <c:v>0.52900000000000003</c:v>
                </c:pt>
                <c:pt idx="13">
                  <c:v>0.52200000000000002</c:v>
                </c:pt>
                <c:pt idx="14">
                  <c:v>0.52400000000000002</c:v>
                </c:pt>
                <c:pt idx="15">
                  <c:v>0.55900000000000005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F0-4B78-8373-26B9A8A9D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374287"/>
        <c:axId val="241126495"/>
      </c:scatterChart>
      <c:valAx>
        <c:axId val="196737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126495"/>
        <c:crosses val="autoZero"/>
        <c:crossBetween val="midCat"/>
      </c:valAx>
      <c:valAx>
        <c:axId val="24112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7374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Лист1!$B$6:$B$21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Лист1!$D$6:$D$21</c:f>
              <c:numCache>
                <c:formatCode>0.00</c:formatCode>
                <c:ptCount val="16"/>
                <c:pt idx="0">
                  <c:v>1</c:v>
                </c:pt>
                <c:pt idx="1">
                  <c:v>1.0300751879699248</c:v>
                </c:pt>
                <c:pt idx="2">
                  <c:v>0.98916967509025266</c:v>
                </c:pt>
                <c:pt idx="3">
                  <c:v>1.0339622641509434</c:v>
                </c:pt>
                <c:pt idx="4">
                  <c:v>1.0018281535648994</c:v>
                </c:pt>
                <c:pt idx="5">
                  <c:v>1.0166975881261595</c:v>
                </c:pt>
                <c:pt idx="6">
                  <c:v>0.99455535390199634</c:v>
                </c:pt>
                <c:pt idx="7">
                  <c:v>1.0204841713221602</c:v>
                </c:pt>
                <c:pt idx="8">
                  <c:v>0.99095840867992768</c:v>
                </c:pt>
                <c:pt idx="9">
                  <c:v>1.0378787878787878</c:v>
                </c:pt>
                <c:pt idx="10">
                  <c:v>1.0148148148148148</c:v>
                </c:pt>
                <c:pt idx="11">
                  <c:v>1.0110701107011071</c:v>
                </c:pt>
                <c:pt idx="12">
                  <c:v>1.0359168241965975</c:v>
                </c:pt>
                <c:pt idx="13">
                  <c:v>1.0498084291187739</c:v>
                </c:pt>
                <c:pt idx="14">
                  <c:v>1.0458015267175573</c:v>
                </c:pt>
                <c:pt idx="15">
                  <c:v>0.98032200357781751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70-4E2D-881B-E1849595E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903663"/>
        <c:axId val="852901167"/>
      </c:scatterChart>
      <c:valAx>
        <c:axId val="85290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901167"/>
        <c:crosses val="autoZero"/>
        <c:crossBetween val="midCat"/>
      </c:valAx>
      <c:valAx>
        <c:axId val="85290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90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 распараллеливания</a:t>
            </a:r>
          </a:p>
        </c:rich>
      </c:tx>
      <c:layout>
        <c:manualLayout>
          <c:xMode val="edge"/>
          <c:yMode val="edge"/>
          <c:x val="0.309458223972003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Лист1!$B$6:$B$21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Лист1!$E$6:$E$21</c:f>
              <c:numCache>
                <c:formatCode>0.00</c:formatCode>
                <c:ptCount val="16"/>
                <c:pt idx="0">
                  <c:v>1</c:v>
                </c:pt>
                <c:pt idx="1">
                  <c:v>0.51503759398496241</c:v>
                </c:pt>
                <c:pt idx="2">
                  <c:v>0.32972322503008422</c:v>
                </c:pt>
                <c:pt idx="3">
                  <c:v>0.25849056603773585</c:v>
                </c:pt>
                <c:pt idx="4">
                  <c:v>0.20036563071297989</c:v>
                </c:pt>
                <c:pt idx="5">
                  <c:v>0.16944959802102658</c:v>
                </c:pt>
                <c:pt idx="6">
                  <c:v>0.14207933627171376</c:v>
                </c:pt>
                <c:pt idx="7">
                  <c:v>0.12756052141527002</c:v>
                </c:pt>
                <c:pt idx="8">
                  <c:v>0.1101064898533253</c:v>
                </c:pt>
                <c:pt idx="9">
                  <c:v>0.10378787878787879</c:v>
                </c:pt>
                <c:pt idx="10">
                  <c:v>9.2255892255892258E-2</c:v>
                </c:pt>
                <c:pt idx="11">
                  <c:v>8.4255842558425595E-2</c:v>
                </c:pt>
                <c:pt idx="12">
                  <c:v>7.9685909553584428E-2</c:v>
                </c:pt>
                <c:pt idx="13">
                  <c:v>7.4986316365626707E-2</c:v>
                </c:pt>
                <c:pt idx="14">
                  <c:v>6.9720101781170482E-2</c:v>
                </c:pt>
                <c:pt idx="15">
                  <c:v>6.1270125223613595E-2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83-42CE-AF0D-1849C65A8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136687"/>
        <c:axId val="234577663"/>
      </c:scatterChart>
      <c:valAx>
        <c:axId val="85013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4577663"/>
        <c:crosses val="autoZero"/>
        <c:crossBetween val="midCat"/>
      </c:valAx>
      <c:valAx>
        <c:axId val="23457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0136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выполниния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Лист1!$B$27:$B$42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Лист1!$C$27:$C$42</c:f>
              <c:numCache>
                <c:formatCode>0.000</c:formatCode>
                <c:ptCount val="16"/>
                <c:pt idx="0">
                  <c:v>0.53800000000000003</c:v>
                </c:pt>
                <c:pt idx="1">
                  <c:v>0.50700000000000001</c:v>
                </c:pt>
                <c:pt idx="2">
                  <c:v>0.46500000000000002</c:v>
                </c:pt>
                <c:pt idx="3">
                  <c:v>0.47399999999999998</c:v>
                </c:pt>
                <c:pt idx="4">
                  <c:v>0.46500000000000002</c:v>
                </c:pt>
                <c:pt idx="5">
                  <c:v>0.48099999999999998</c:v>
                </c:pt>
                <c:pt idx="6">
                  <c:v>0.48099999999999998</c:v>
                </c:pt>
                <c:pt idx="7">
                  <c:v>0.46100000000000002</c:v>
                </c:pt>
                <c:pt idx="8">
                  <c:v>0.47</c:v>
                </c:pt>
                <c:pt idx="9">
                  <c:v>0.46100000000000002</c:v>
                </c:pt>
                <c:pt idx="10">
                  <c:v>0.45700000000000002</c:v>
                </c:pt>
                <c:pt idx="11">
                  <c:v>0.46899999999999997</c:v>
                </c:pt>
                <c:pt idx="12">
                  <c:v>0.46200000000000002</c:v>
                </c:pt>
                <c:pt idx="13">
                  <c:v>0.45800000000000002</c:v>
                </c:pt>
                <c:pt idx="14">
                  <c:v>0.46800000000000003</c:v>
                </c:pt>
                <c:pt idx="15">
                  <c:v>0.48599999999999999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1A-4DAF-B68E-40C7D82F4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374287"/>
        <c:axId val="241126495"/>
      </c:scatterChart>
      <c:valAx>
        <c:axId val="196737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126495"/>
        <c:crosses val="autoZero"/>
        <c:crossBetween val="midCat"/>
      </c:valAx>
      <c:valAx>
        <c:axId val="24112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7374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Лист1!$B$27:$B$42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Лист1!$D$27:$D$42</c:f>
              <c:numCache>
                <c:formatCode>0.00</c:formatCode>
                <c:ptCount val="16"/>
                <c:pt idx="0">
                  <c:v>1</c:v>
                </c:pt>
                <c:pt idx="1">
                  <c:v>1.0611439842209074</c:v>
                </c:pt>
                <c:pt idx="2">
                  <c:v>1.156989247311828</c:v>
                </c:pt>
                <c:pt idx="3">
                  <c:v>1.1350210970464136</c:v>
                </c:pt>
                <c:pt idx="4">
                  <c:v>1.156989247311828</c:v>
                </c:pt>
                <c:pt idx="5">
                  <c:v>1.1185031185031187</c:v>
                </c:pt>
                <c:pt idx="6">
                  <c:v>1.1185031185031187</c:v>
                </c:pt>
                <c:pt idx="7">
                  <c:v>1.1670281995661604</c:v>
                </c:pt>
                <c:pt idx="8">
                  <c:v>1.14468085106383</c:v>
                </c:pt>
                <c:pt idx="9">
                  <c:v>1.1670281995661604</c:v>
                </c:pt>
                <c:pt idx="10">
                  <c:v>1.1772428884026258</c:v>
                </c:pt>
                <c:pt idx="11">
                  <c:v>1.1471215351812367</c:v>
                </c:pt>
                <c:pt idx="12">
                  <c:v>1.1645021645021645</c:v>
                </c:pt>
                <c:pt idx="13">
                  <c:v>1.1746724890829694</c:v>
                </c:pt>
                <c:pt idx="14">
                  <c:v>1.1495726495726495</c:v>
                </c:pt>
                <c:pt idx="15">
                  <c:v>1.1069958847736627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3A-463D-86A2-74495D6C5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903663"/>
        <c:axId val="852901167"/>
      </c:scatterChart>
      <c:valAx>
        <c:axId val="85290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901167"/>
        <c:crosses val="autoZero"/>
        <c:crossBetween val="midCat"/>
      </c:valAx>
      <c:valAx>
        <c:axId val="85290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90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 распараллеливания</a:t>
            </a:r>
          </a:p>
        </c:rich>
      </c:tx>
      <c:layout>
        <c:manualLayout>
          <c:xMode val="edge"/>
          <c:yMode val="edge"/>
          <c:x val="0.309458223972003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Лист1!$B$27:$B$42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Лист1!$E$27:$E$42</c:f>
              <c:numCache>
                <c:formatCode>0.00</c:formatCode>
                <c:ptCount val="16"/>
                <c:pt idx="0">
                  <c:v>1</c:v>
                </c:pt>
                <c:pt idx="1">
                  <c:v>0.53057199211045369</c:v>
                </c:pt>
                <c:pt idx="2">
                  <c:v>0.38566308243727598</c:v>
                </c:pt>
                <c:pt idx="3">
                  <c:v>0.28375527426160341</c:v>
                </c:pt>
                <c:pt idx="4">
                  <c:v>0.23139784946236558</c:v>
                </c:pt>
                <c:pt idx="5">
                  <c:v>0.18641718641718644</c:v>
                </c:pt>
                <c:pt idx="6">
                  <c:v>0.15978615978615981</c:v>
                </c:pt>
                <c:pt idx="7">
                  <c:v>0.14587852494577006</c:v>
                </c:pt>
                <c:pt idx="8">
                  <c:v>0.12718676122931444</c:v>
                </c:pt>
                <c:pt idx="9">
                  <c:v>0.11670281995661605</c:v>
                </c:pt>
                <c:pt idx="10">
                  <c:v>0.10702208076387508</c:v>
                </c:pt>
                <c:pt idx="11">
                  <c:v>9.5593461265103055E-2</c:v>
                </c:pt>
                <c:pt idx="12">
                  <c:v>8.9577089577089569E-2</c:v>
                </c:pt>
                <c:pt idx="13">
                  <c:v>8.3905177791640667E-2</c:v>
                </c:pt>
                <c:pt idx="14">
                  <c:v>7.6638176638176639E-2</c:v>
                </c:pt>
                <c:pt idx="15">
                  <c:v>6.9187242798353921E-2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A6-41C6-9BD6-D9CD7AF99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136687"/>
        <c:axId val="234577663"/>
      </c:scatterChart>
      <c:valAx>
        <c:axId val="85013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4577663"/>
        <c:crosses val="autoZero"/>
        <c:crossBetween val="midCat"/>
      </c:valAx>
      <c:valAx>
        <c:axId val="23457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0136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выполниния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Лист1!$B$48:$B$63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Лист1!$C$48:$C$63</c:f>
              <c:numCache>
                <c:formatCode>0.000</c:formatCode>
                <c:ptCount val="16"/>
                <c:pt idx="0">
                  <c:v>0.53900000000000003</c:v>
                </c:pt>
                <c:pt idx="1">
                  <c:v>0.28199999999999997</c:v>
                </c:pt>
                <c:pt idx="2">
                  <c:v>0.27700000000000002</c:v>
                </c:pt>
                <c:pt idx="3">
                  <c:v>0.28199999999999997</c:v>
                </c:pt>
                <c:pt idx="4">
                  <c:v>0.26800000000000002</c:v>
                </c:pt>
                <c:pt idx="5">
                  <c:v>0.255</c:v>
                </c:pt>
                <c:pt idx="6">
                  <c:v>0.26300000000000001</c:v>
                </c:pt>
                <c:pt idx="7">
                  <c:v>0.25800000000000001</c:v>
                </c:pt>
                <c:pt idx="8">
                  <c:v>0.30099999999999999</c:v>
                </c:pt>
                <c:pt idx="9">
                  <c:v>0.26300000000000001</c:v>
                </c:pt>
                <c:pt idx="10">
                  <c:v>0.252</c:v>
                </c:pt>
                <c:pt idx="11">
                  <c:v>0.25700000000000001</c:v>
                </c:pt>
                <c:pt idx="12">
                  <c:v>0.26500000000000001</c:v>
                </c:pt>
                <c:pt idx="13">
                  <c:v>0.26400000000000001</c:v>
                </c:pt>
                <c:pt idx="14">
                  <c:v>0.25800000000000001</c:v>
                </c:pt>
                <c:pt idx="15">
                  <c:v>0.26300000000000001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13-4686-A563-8016303DB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374287"/>
        <c:axId val="241126495"/>
      </c:scatterChart>
      <c:valAx>
        <c:axId val="196737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126495"/>
        <c:crosses val="autoZero"/>
        <c:crossBetween val="midCat"/>
      </c:valAx>
      <c:valAx>
        <c:axId val="24112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7374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Лист1!$B$48:$B$63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Лист1!$D$48:$D$63</c:f>
              <c:numCache>
                <c:formatCode>0.00</c:formatCode>
                <c:ptCount val="16"/>
                <c:pt idx="0">
                  <c:v>1</c:v>
                </c:pt>
                <c:pt idx="1">
                  <c:v>1.9113475177304968</c:v>
                </c:pt>
                <c:pt idx="2">
                  <c:v>1.9458483754512634</c:v>
                </c:pt>
                <c:pt idx="3">
                  <c:v>1.9113475177304968</c:v>
                </c:pt>
                <c:pt idx="4">
                  <c:v>2.0111940298507465</c:v>
                </c:pt>
                <c:pt idx="5">
                  <c:v>2.1137254901960785</c:v>
                </c:pt>
                <c:pt idx="6">
                  <c:v>2.0494296577946769</c:v>
                </c:pt>
                <c:pt idx="7">
                  <c:v>2.0891472868217056</c:v>
                </c:pt>
                <c:pt idx="8">
                  <c:v>1.7906976744186047</c:v>
                </c:pt>
                <c:pt idx="9">
                  <c:v>2.0494296577946769</c:v>
                </c:pt>
                <c:pt idx="10">
                  <c:v>2.1388888888888888</c:v>
                </c:pt>
                <c:pt idx="11">
                  <c:v>2.0972762645914398</c:v>
                </c:pt>
                <c:pt idx="12">
                  <c:v>2.0339622641509436</c:v>
                </c:pt>
                <c:pt idx="13">
                  <c:v>2.0416666666666665</c:v>
                </c:pt>
                <c:pt idx="14">
                  <c:v>2.0891472868217056</c:v>
                </c:pt>
                <c:pt idx="15">
                  <c:v>2.0494296577946769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3E-4FE2-A2EA-96C9CD2EE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903663"/>
        <c:axId val="852901167"/>
      </c:scatterChart>
      <c:valAx>
        <c:axId val="85290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901167"/>
        <c:crosses val="autoZero"/>
        <c:crossBetween val="midCat"/>
      </c:valAx>
      <c:valAx>
        <c:axId val="85290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90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 распараллеливания</a:t>
            </a:r>
          </a:p>
        </c:rich>
      </c:tx>
      <c:layout>
        <c:manualLayout>
          <c:xMode val="edge"/>
          <c:yMode val="edge"/>
          <c:x val="0.309458223972003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Лист1!$B$48:$B$63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Лист1!$E$48:$E$63</c:f>
              <c:numCache>
                <c:formatCode>0.00</c:formatCode>
                <c:ptCount val="16"/>
                <c:pt idx="0">
                  <c:v>1</c:v>
                </c:pt>
                <c:pt idx="1">
                  <c:v>0.95567375886524841</c:v>
                </c:pt>
                <c:pt idx="2">
                  <c:v>0.64861612515042111</c:v>
                </c:pt>
                <c:pt idx="3">
                  <c:v>0.47783687943262421</c:v>
                </c:pt>
                <c:pt idx="4">
                  <c:v>0.40223880597014927</c:v>
                </c:pt>
                <c:pt idx="5">
                  <c:v>0.35228758169934643</c:v>
                </c:pt>
                <c:pt idx="6">
                  <c:v>0.29277566539923955</c:v>
                </c:pt>
                <c:pt idx="7">
                  <c:v>0.2611434108527132</c:v>
                </c:pt>
                <c:pt idx="8">
                  <c:v>0.19896640826873385</c:v>
                </c:pt>
                <c:pt idx="9">
                  <c:v>0.20494296577946769</c:v>
                </c:pt>
                <c:pt idx="10">
                  <c:v>0.19444444444444445</c:v>
                </c:pt>
                <c:pt idx="11">
                  <c:v>0.17477302204928666</c:v>
                </c:pt>
                <c:pt idx="12">
                  <c:v>0.15645863570391874</c:v>
                </c:pt>
                <c:pt idx="13">
                  <c:v>0.14583333333333331</c:v>
                </c:pt>
                <c:pt idx="14">
                  <c:v>0.13927648578811372</c:v>
                </c:pt>
                <c:pt idx="15">
                  <c:v>0.12808935361216731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9E-427A-ACB4-10AE91E7E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136687"/>
        <c:axId val="234577663"/>
      </c:scatterChart>
      <c:valAx>
        <c:axId val="85013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4577663"/>
        <c:crosses val="autoZero"/>
        <c:crossBetween val="midCat"/>
      </c:valAx>
      <c:valAx>
        <c:axId val="23457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0136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выполниния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Лист1!$B$69:$B$84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Лист1!$C$69:$C$84</c:f>
              <c:numCache>
                <c:formatCode>0.000</c:formatCode>
                <c:ptCount val="16"/>
                <c:pt idx="0">
                  <c:v>0.52200000000000002</c:v>
                </c:pt>
                <c:pt idx="1">
                  <c:v>0.29899999999999999</c:v>
                </c:pt>
                <c:pt idx="2">
                  <c:v>0.26500000000000001</c:v>
                </c:pt>
                <c:pt idx="3">
                  <c:v>0.24199999999999999</c:v>
                </c:pt>
                <c:pt idx="4">
                  <c:v>0.251</c:v>
                </c:pt>
                <c:pt idx="5">
                  <c:v>0.253</c:v>
                </c:pt>
                <c:pt idx="6">
                  <c:v>0.253</c:v>
                </c:pt>
                <c:pt idx="7">
                  <c:v>0.248</c:v>
                </c:pt>
                <c:pt idx="8">
                  <c:v>0.25</c:v>
                </c:pt>
                <c:pt idx="9">
                  <c:v>0.25</c:v>
                </c:pt>
                <c:pt idx="10">
                  <c:v>0.26</c:v>
                </c:pt>
                <c:pt idx="11">
                  <c:v>0.246</c:v>
                </c:pt>
                <c:pt idx="12">
                  <c:v>0.25900000000000001</c:v>
                </c:pt>
                <c:pt idx="13">
                  <c:v>0.25</c:v>
                </c:pt>
                <c:pt idx="14">
                  <c:v>0.254</c:v>
                </c:pt>
                <c:pt idx="15">
                  <c:v>0.24199999999999999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E1-41A0-A9CA-52B2F42C5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374287"/>
        <c:axId val="241126495"/>
      </c:scatterChart>
      <c:valAx>
        <c:axId val="196737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126495"/>
        <c:crosses val="autoZero"/>
        <c:crossBetween val="midCat"/>
      </c:valAx>
      <c:valAx>
        <c:axId val="24112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7374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Лист1!$B$69:$B$84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Лист1!$D$69:$D$84</c:f>
              <c:numCache>
                <c:formatCode>0.00</c:formatCode>
                <c:ptCount val="16"/>
                <c:pt idx="0">
                  <c:v>1</c:v>
                </c:pt>
                <c:pt idx="1">
                  <c:v>1.7458193979933112</c:v>
                </c:pt>
                <c:pt idx="2">
                  <c:v>1.969811320754717</c:v>
                </c:pt>
                <c:pt idx="3">
                  <c:v>2.1570247933884299</c:v>
                </c:pt>
                <c:pt idx="4">
                  <c:v>2.0796812749003983</c:v>
                </c:pt>
                <c:pt idx="5">
                  <c:v>2.0632411067193677</c:v>
                </c:pt>
                <c:pt idx="6">
                  <c:v>2.0632411067193677</c:v>
                </c:pt>
                <c:pt idx="7">
                  <c:v>2.1048387096774195</c:v>
                </c:pt>
                <c:pt idx="8">
                  <c:v>2.0880000000000001</c:v>
                </c:pt>
                <c:pt idx="9">
                  <c:v>2.0880000000000001</c:v>
                </c:pt>
                <c:pt idx="10">
                  <c:v>2.0076923076923077</c:v>
                </c:pt>
                <c:pt idx="11">
                  <c:v>2.1219512195121952</c:v>
                </c:pt>
                <c:pt idx="12">
                  <c:v>2.0154440154440154</c:v>
                </c:pt>
                <c:pt idx="13">
                  <c:v>2.0880000000000001</c:v>
                </c:pt>
                <c:pt idx="14">
                  <c:v>2.0551181102362204</c:v>
                </c:pt>
                <c:pt idx="15">
                  <c:v>2.1570247933884299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4B-4E4D-990A-236968AA9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903663"/>
        <c:axId val="852901167"/>
      </c:scatterChart>
      <c:valAx>
        <c:axId val="85290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901167"/>
        <c:crosses val="autoZero"/>
        <c:crossBetween val="midCat"/>
      </c:valAx>
      <c:valAx>
        <c:axId val="85290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90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 распараллеливания</a:t>
            </a:r>
          </a:p>
        </c:rich>
      </c:tx>
      <c:layout>
        <c:manualLayout>
          <c:xMode val="edge"/>
          <c:yMode val="edge"/>
          <c:x val="0.309458223972003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Лист1!$B$69:$B$84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Лист1!$E$69:$E$84</c:f>
              <c:numCache>
                <c:formatCode>0.00</c:formatCode>
                <c:ptCount val="16"/>
                <c:pt idx="0">
                  <c:v>1</c:v>
                </c:pt>
                <c:pt idx="1">
                  <c:v>0.8729096989966556</c:v>
                </c:pt>
                <c:pt idx="2">
                  <c:v>0.65660377358490563</c:v>
                </c:pt>
                <c:pt idx="3">
                  <c:v>0.53925619834710747</c:v>
                </c:pt>
                <c:pt idx="4">
                  <c:v>0.41593625498007969</c:v>
                </c:pt>
                <c:pt idx="5">
                  <c:v>0.34387351778656128</c:v>
                </c:pt>
                <c:pt idx="6">
                  <c:v>0.29474872953133824</c:v>
                </c:pt>
                <c:pt idx="7">
                  <c:v>0.26310483870967744</c:v>
                </c:pt>
                <c:pt idx="8">
                  <c:v>0.23200000000000001</c:v>
                </c:pt>
                <c:pt idx="9">
                  <c:v>0.20880000000000001</c:v>
                </c:pt>
                <c:pt idx="10">
                  <c:v>0.18251748251748251</c:v>
                </c:pt>
                <c:pt idx="11">
                  <c:v>0.17682926829268295</c:v>
                </c:pt>
                <c:pt idx="12">
                  <c:v>0.15503415503415502</c:v>
                </c:pt>
                <c:pt idx="13">
                  <c:v>0.14914285714285716</c:v>
                </c:pt>
                <c:pt idx="14">
                  <c:v>0.13700787401574802</c:v>
                </c:pt>
                <c:pt idx="15">
                  <c:v>0.13481404958677687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9D-4CA2-B995-8656CE990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136687"/>
        <c:axId val="234577663"/>
      </c:scatterChart>
      <c:valAx>
        <c:axId val="85013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4577663"/>
        <c:crosses val="autoZero"/>
        <c:crossBetween val="midCat"/>
      </c:valAx>
      <c:valAx>
        <c:axId val="23457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0136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265044</xdr:colOff>
      <xdr:row>3</xdr:row>
      <xdr:rowOff>182217</xdr:rowOff>
    </xdr:from>
    <xdr:to>
      <xdr:col>12</xdr:col>
      <xdr:colOff>569844</xdr:colOff>
      <xdr:row>17</xdr:row>
      <xdr:rowOff>23191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01101DA-B6DA-4561-AF39-80D1DABE6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152401</xdr:colOff>
      <xdr:row>3</xdr:row>
      <xdr:rowOff>208721</xdr:rowOff>
    </xdr:from>
    <xdr:to>
      <xdr:col>20</xdr:col>
      <xdr:colOff>457201</xdr:colOff>
      <xdr:row>17</xdr:row>
      <xdr:rowOff>49695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93CE4CE-CFFE-48F7-AA7E-C09AD28B0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39758</xdr:colOff>
      <xdr:row>3</xdr:row>
      <xdr:rowOff>228599</xdr:rowOff>
    </xdr:from>
    <xdr:to>
      <xdr:col>28</xdr:col>
      <xdr:colOff>344558</xdr:colOff>
      <xdr:row>17</xdr:row>
      <xdr:rowOff>69573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B89A6D9-25FE-43E4-A79A-FEFC050D2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185530</xdr:colOff>
      <xdr:row>24</xdr:row>
      <xdr:rowOff>185531</xdr:rowOff>
    </xdr:from>
    <xdr:to>
      <xdr:col>12</xdr:col>
      <xdr:colOff>490330</xdr:colOff>
      <xdr:row>37</xdr:row>
      <xdr:rowOff>172279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DDFC24A-37FF-4A24-80E2-4BA0F89DF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53009</xdr:colOff>
      <xdr:row>24</xdr:row>
      <xdr:rowOff>185531</xdr:rowOff>
    </xdr:from>
    <xdr:to>
      <xdr:col>20</xdr:col>
      <xdr:colOff>357809</xdr:colOff>
      <xdr:row>37</xdr:row>
      <xdr:rowOff>172279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A86E9B7-F25A-4F32-BE2C-8828D3006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483705</xdr:colOff>
      <xdr:row>24</xdr:row>
      <xdr:rowOff>178906</xdr:rowOff>
    </xdr:from>
    <xdr:to>
      <xdr:col>28</xdr:col>
      <xdr:colOff>178905</xdr:colOff>
      <xdr:row>37</xdr:row>
      <xdr:rowOff>165654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89CB6865-E382-4A67-A007-6B3063A35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132522</xdr:colOff>
      <xdr:row>46</xdr:row>
      <xdr:rowOff>258418</xdr:rowOff>
    </xdr:from>
    <xdr:to>
      <xdr:col>12</xdr:col>
      <xdr:colOff>437322</xdr:colOff>
      <xdr:row>61</xdr:row>
      <xdr:rowOff>92765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6A291045-C635-4758-9D10-7F8BF24D6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589722</xdr:colOff>
      <xdr:row>46</xdr:row>
      <xdr:rowOff>271670</xdr:rowOff>
    </xdr:from>
    <xdr:to>
      <xdr:col>20</xdr:col>
      <xdr:colOff>284922</xdr:colOff>
      <xdr:row>61</xdr:row>
      <xdr:rowOff>106017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DD383A6F-375C-46DD-8037-7968A0D21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391886</xdr:colOff>
      <xdr:row>46</xdr:row>
      <xdr:rowOff>261256</xdr:rowOff>
    </xdr:from>
    <xdr:to>
      <xdr:col>28</xdr:col>
      <xdr:colOff>87086</xdr:colOff>
      <xdr:row>61</xdr:row>
      <xdr:rowOff>95605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70A4D20F-690D-42CD-9501-C70009440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152400</xdr:colOff>
      <xdr:row>67</xdr:row>
      <xdr:rowOff>21771</xdr:rowOff>
    </xdr:from>
    <xdr:to>
      <xdr:col>12</xdr:col>
      <xdr:colOff>457200</xdr:colOff>
      <xdr:row>81</xdr:row>
      <xdr:rowOff>19403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87E74E57-6D2F-4156-A189-235584C69A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0</xdr:colOff>
      <xdr:row>67</xdr:row>
      <xdr:rowOff>0</xdr:rowOff>
    </xdr:from>
    <xdr:to>
      <xdr:col>20</xdr:col>
      <xdr:colOff>304800</xdr:colOff>
      <xdr:row>80</xdr:row>
      <xdr:rowOff>182689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E42C9C18-651C-41B7-A499-C54B80DD2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402771</xdr:colOff>
      <xdr:row>67</xdr:row>
      <xdr:rowOff>0</xdr:rowOff>
    </xdr:from>
    <xdr:to>
      <xdr:col>28</xdr:col>
      <xdr:colOff>97971</xdr:colOff>
      <xdr:row>80</xdr:row>
      <xdr:rowOff>182691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9459DFE1-3744-41A6-A502-BEE0ECB84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67B8-6922-4465-94CB-5F0444FDD379}">
  <dimension ref="A2:F85"/>
  <sheetViews>
    <sheetView tabSelected="1" topLeftCell="A64" zoomScale="130" zoomScaleNormal="130" workbookViewId="0">
      <selection activeCell="H1" sqref="H1"/>
    </sheetView>
  </sheetViews>
  <sheetFormatPr defaultRowHeight="14.4" x14ac:dyDescent="0.3"/>
  <cols>
    <col min="1" max="1" width="8.88671875" style="3"/>
    <col min="2" max="2" width="9.6640625" style="3" customWidth="1"/>
    <col min="3" max="3" width="10.33203125" style="3" customWidth="1"/>
    <col min="4" max="4" width="10.5546875" style="3" customWidth="1"/>
    <col min="5" max="5" width="9.6640625" style="3" customWidth="1"/>
    <col min="6" max="16384" width="8.88671875" style="3"/>
  </cols>
  <sheetData>
    <row r="2" spans="1:6" ht="15" thickBot="1" x14ac:dyDescent="0.35">
      <c r="B2" s="4"/>
      <c r="C2" s="4"/>
      <c r="D2" s="4"/>
      <c r="E2" s="4"/>
    </row>
    <row r="3" spans="1:6" ht="16.2" thickBot="1" x14ac:dyDescent="0.35">
      <c r="A3" s="5"/>
      <c r="B3" s="8" t="s">
        <v>0</v>
      </c>
      <c r="C3" s="9"/>
      <c r="D3" s="9"/>
      <c r="E3" s="10"/>
      <c r="F3" s="6"/>
    </row>
    <row r="4" spans="1:6" ht="26.4" customHeight="1" x14ac:dyDescent="0.3">
      <c r="A4" s="5"/>
      <c r="B4" s="1" t="s">
        <v>1</v>
      </c>
      <c r="C4" s="11" t="s">
        <v>2</v>
      </c>
      <c r="D4" s="13" t="s">
        <v>3</v>
      </c>
      <c r="E4" s="31" t="s">
        <v>4</v>
      </c>
      <c r="F4" s="6"/>
    </row>
    <row r="5" spans="1:6" ht="26.4" customHeight="1" thickBot="1" x14ac:dyDescent="0.35">
      <c r="A5" s="5"/>
      <c r="B5" s="2"/>
      <c r="C5" s="12"/>
      <c r="D5" s="14"/>
      <c r="E5" s="32"/>
      <c r="F5" s="6"/>
    </row>
    <row r="6" spans="1:6" x14ac:dyDescent="0.3">
      <c r="A6" s="5"/>
      <c r="B6" s="16">
        <v>1</v>
      </c>
      <c r="C6" s="22">
        <v>0.54800000000000004</v>
      </c>
      <c r="D6" s="25">
        <f>$C$6/$C6</f>
        <v>1</v>
      </c>
      <c r="E6" s="27">
        <f>$D6/$B6</f>
        <v>1</v>
      </c>
      <c r="F6" s="6"/>
    </row>
    <row r="7" spans="1:6" x14ac:dyDescent="0.3">
      <c r="A7" s="5"/>
      <c r="B7" s="17">
        <v>2</v>
      </c>
      <c r="C7" s="23">
        <v>0.53200000000000003</v>
      </c>
      <c r="D7" s="20">
        <f>$C$6/$C7</f>
        <v>1.0300751879699248</v>
      </c>
      <c r="E7" s="27">
        <f t="shared" ref="E7:E21" si="0">$D7/$B7</f>
        <v>0.51503759398496241</v>
      </c>
      <c r="F7" s="6"/>
    </row>
    <row r="8" spans="1:6" x14ac:dyDescent="0.3">
      <c r="A8" s="5"/>
      <c r="B8" s="17">
        <v>3</v>
      </c>
      <c r="C8" s="23">
        <v>0.55400000000000005</v>
      </c>
      <c r="D8" s="20">
        <f t="shared" ref="D8:D21" si="1">$C$6/$C8</f>
        <v>0.98916967509025266</v>
      </c>
      <c r="E8" s="27">
        <f t="shared" si="0"/>
        <v>0.32972322503008422</v>
      </c>
      <c r="F8" s="6"/>
    </row>
    <row r="9" spans="1:6" x14ac:dyDescent="0.3">
      <c r="A9" s="5"/>
      <c r="B9" s="17">
        <v>4</v>
      </c>
      <c r="C9" s="23">
        <v>0.53</v>
      </c>
      <c r="D9" s="20">
        <f>$C$6/$C9</f>
        <v>1.0339622641509434</v>
      </c>
      <c r="E9" s="27">
        <f t="shared" si="0"/>
        <v>0.25849056603773585</v>
      </c>
      <c r="F9" s="6"/>
    </row>
    <row r="10" spans="1:6" x14ac:dyDescent="0.3">
      <c r="A10" s="5"/>
      <c r="B10" s="18">
        <v>5</v>
      </c>
      <c r="C10" s="23">
        <v>0.54700000000000004</v>
      </c>
      <c r="D10" s="20">
        <f t="shared" si="1"/>
        <v>1.0018281535648994</v>
      </c>
      <c r="E10" s="27">
        <f t="shared" si="0"/>
        <v>0.20036563071297989</v>
      </c>
      <c r="F10" s="6"/>
    </row>
    <row r="11" spans="1:6" x14ac:dyDescent="0.3">
      <c r="A11" s="5"/>
      <c r="B11" s="17">
        <v>6</v>
      </c>
      <c r="C11" s="23">
        <v>0.53900000000000003</v>
      </c>
      <c r="D11" s="26">
        <f t="shared" si="1"/>
        <v>1.0166975881261595</v>
      </c>
      <c r="E11" s="27">
        <f t="shared" si="0"/>
        <v>0.16944959802102658</v>
      </c>
      <c r="F11" s="6"/>
    </row>
    <row r="12" spans="1:6" x14ac:dyDescent="0.3">
      <c r="A12" s="5"/>
      <c r="B12" s="17">
        <v>7</v>
      </c>
      <c r="C12" s="23">
        <v>0.55100000000000005</v>
      </c>
      <c r="D12" s="20">
        <f t="shared" si="1"/>
        <v>0.99455535390199634</v>
      </c>
      <c r="E12" s="27">
        <f t="shared" si="0"/>
        <v>0.14207933627171376</v>
      </c>
      <c r="F12" s="6"/>
    </row>
    <row r="13" spans="1:6" x14ac:dyDescent="0.3">
      <c r="A13" s="5"/>
      <c r="B13" s="17">
        <v>8</v>
      </c>
      <c r="C13" s="23">
        <v>0.53700000000000003</v>
      </c>
      <c r="D13" s="20">
        <f t="shared" si="1"/>
        <v>1.0204841713221602</v>
      </c>
      <c r="E13" s="27">
        <f t="shared" si="0"/>
        <v>0.12756052141527002</v>
      </c>
      <c r="F13" s="6"/>
    </row>
    <row r="14" spans="1:6" x14ac:dyDescent="0.3">
      <c r="A14" s="5"/>
      <c r="B14" s="18">
        <v>9</v>
      </c>
      <c r="C14" s="23">
        <v>0.55300000000000005</v>
      </c>
      <c r="D14" s="27">
        <f t="shared" si="1"/>
        <v>0.99095840867992768</v>
      </c>
      <c r="E14" s="27">
        <f t="shared" si="0"/>
        <v>0.1101064898533253</v>
      </c>
      <c r="F14" s="6"/>
    </row>
    <row r="15" spans="1:6" x14ac:dyDescent="0.3">
      <c r="A15" s="5"/>
      <c r="B15" s="17">
        <v>10</v>
      </c>
      <c r="C15" s="23">
        <v>0.52800000000000002</v>
      </c>
      <c r="D15" s="27">
        <f t="shared" si="1"/>
        <v>1.0378787878787878</v>
      </c>
      <c r="E15" s="27">
        <f t="shared" si="0"/>
        <v>0.10378787878787879</v>
      </c>
      <c r="F15" s="6"/>
    </row>
    <row r="16" spans="1:6" x14ac:dyDescent="0.3">
      <c r="A16" s="5"/>
      <c r="B16" s="17">
        <v>11</v>
      </c>
      <c r="C16" s="23">
        <v>0.54</v>
      </c>
      <c r="D16" s="27">
        <f t="shared" si="1"/>
        <v>1.0148148148148148</v>
      </c>
      <c r="E16" s="27">
        <f t="shared" si="0"/>
        <v>9.2255892255892258E-2</v>
      </c>
      <c r="F16" s="6"/>
    </row>
    <row r="17" spans="1:6" x14ac:dyDescent="0.3">
      <c r="A17" s="5"/>
      <c r="B17" s="17">
        <v>12</v>
      </c>
      <c r="C17" s="23">
        <v>0.54200000000000004</v>
      </c>
      <c r="D17" s="26">
        <f t="shared" si="1"/>
        <v>1.0110701107011071</v>
      </c>
      <c r="E17" s="27">
        <f t="shared" si="0"/>
        <v>8.4255842558425595E-2</v>
      </c>
      <c r="F17" s="6"/>
    </row>
    <row r="18" spans="1:6" ht="15" thickBot="1" x14ac:dyDescent="0.35">
      <c r="A18" s="5"/>
      <c r="B18" s="18">
        <v>13</v>
      </c>
      <c r="C18" s="23">
        <v>0.52900000000000003</v>
      </c>
      <c r="D18" s="28">
        <f t="shared" si="1"/>
        <v>1.0359168241965975</v>
      </c>
      <c r="E18" s="27">
        <f t="shared" si="0"/>
        <v>7.9685909553584428E-2</v>
      </c>
      <c r="F18" s="6"/>
    </row>
    <row r="19" spans="1:6" x14ac:dyDescent="0.3">
      <c r="A19" s="5"/>
      <c r="B19" s="17">
        <v>14</v>
      </c>
      <c r="C19" s="23">
        <v>0.52200000000000002</v>
      </c>
      <c r="D19" s="29">
        <f t="shared" si="1"/>
        <v>1.0498084291187739</v>
      </c>
      <c r="E19" s="27">
        <f t="shared" si="0"/>
        <v>7.4986316365626707E-2</v>
      </c>
      <c r="F19" s="6"/>
    </row>
    <row r="20" spans="1:6" x14ac:dyDescent="0.3">
      <c r="A20" s="5"/>
      <c r="B20" s="18">
        <v>15</v>
      </c>
      <c r="C20" s="23">
        <v>0.52400000000000002</v>
      </c>
      <c r="D20" s="30">
        <f t="shared" si="1"/>
        <v>1.0458015267175573</v>
      </c>
      <c r="E20" s="27">
        <f t="shared" si="0"/>
        <v>6.9720101781170482E-2</v>
      </c>
      <c r="F20" s="6"/>
    </row>
    <row r="21" spans="1:6" ht="15" thickBot="1" x14ac:dyDescent="0.35">
      <c r="A21" s="5"/>
      <c r="B21" s="19">
        <v>16</v>
      </c>
      <c r="C21" s="24">
        <v>0.55900000000000005</v>
      </c>
      <c r="D21" s="21">
        <f t="shared" si="1"/>
        <v>0.98032200357781751</v>
      </c>
      <c r="E21" s="21">
        <f>$D21/$B21</f>
        <v>6.1270125223613595E-2</v>
      </c>
      <c r="F21" s="6"/>
    </row>
    <row r="22" spans="1:6" x14ac:dyDescent="0.3">
      <c r="B22" s="7"/>
      <c r="C22" s="7"/>
      <c r="D22" s="15"/>
      <c r="E22" s="7"/>
    </row>
    <row r="23" spans="1:6" ht="15" thickBot="1" x14ac:dyDescent="0.35"/>
    <row r="24" spans="1:6" ht="16.2" thickBot="1" x14ac:dyDescent="0.35">
      <c r="B24" s="8" t="s">
        <v>5</v>
      </c>
      <c r="C24" s="9"/>
      <c r="D24" s="9"/>
      <c r="E24" s="10"/>
    </row>
    <row r="25" spans="1:6" ht="28.2" customHeight="1" x14ac:dyDescent="0.3">
      <c r="B25" s="1" t="s">
        <v>1</v>
      </c>
      <c r="C25" s="11" t="s">
        <v>2</v>
      </c>
      <c r="D25" s="13" t="s">
        <v>3</v>
      </c>
      <c r="E25" s="31" t="s">
        <v>4</v>
      </c>
    </row>
    <row r="26" spans="1:6" ht="28.2" customHeight="1" thickBot="1" x14ac:dyDescent="0.35">
      <c r="B26" s="2"/>
      <c r="C26" s="12"/>
      <c r="D26" s="14"/>
      <c r="E26" s="32"/>
    </row>
    <row r="27" spans="1:6" x14ac:dyDescent="0.3">
      <c r="B27" s="16">
        <v>1</v>
      </c>
      <c r="C27" s="22">
        <v>0.53800000000000003</v>
      </c>
      <c r="D27" s="27">
        <f>$C$27/$C27</f>
        <v>1</v>
      </c>
      <c r="E27" s="27">
        <f>$D27/$B27</f>
        <v>1</v>
      </c>
    </row>
    <row r="28" spans="1:6" x14ac:dyDescent="0.3">
      <c r="B28" s="17">
        <v>2</v>
      </c>
      <c r="C28" s="23">
        <v>0.50700000000000001</v>
      </c>
      <c r="D28" s="27">
        <f t="shared" ref="D28:D42" si="2">$C$27/$C28</f>
        <v>1.0611439842209074</v>
      </c>
      <c r="E28" s="27">
        <f>$D28/$B28</f>
        <v>0.53057199211045369</v>
      </c>
    </row>
    <row r="29" spans="1:6" x14ac:dyDescent="0.3">
      <c r="B29" s="17">
        <v>3</v>
      </c>
      <c r="C29" s="23">
        <v>0.46500000000000002</v>
      </c>
      <c r="D29" s="27">
        <f t="shared" si="2"/>
        <v>1.156989247311828</v>
      </c>
      <c r="E29" s="27">
        <f t="shared" ref="E28:E42" si="3">$D29/$B29</f>
        <v>0.38566308243727598</v>
      </c>
    </row>
    <row r="30" spans="1:6" x14ac:dyDescent="0.3">
      <c r="B30" s="17">
        <v>4</v>
      </c>
      <c r="C30" s="23">
        <v>0.47399999999999998</v>
      </c>
      <c r="D30" s="27">
        <f t="shared" si="2"/>
        <v>1.1350210970464136</v>
      </c>
      <c r="E30" s="27">
        <f t="shared" si="3"/>
        <v>0.28375527426160341</v>
      </c>
    </row>
    <row r="31" spans="1:6" x14ac:dyDescent="0.3">
      <c r="B31" s="18">
        <v>5</v>
      </c>
      <c r="C31" s="23">
        <v>0.46500000000000002</v>
      </c>
      <c r="D31" s="27">
        <f>$C$27/$C31</f>
        <v>1.156989247311828</v>
      </c>
      <c r="E31" s="27">
        <f t="shared" si="3"/>
        <v>0.23139784946236558</v>
      </c>
    </row>
    <row r="32" spans="1:6" x14ac:dyDescent="0.3">
      <c r="B32" s="17">
        <v>6</v>
      </c>
      <c r="C32" s="23">
        <v>0.48099999999999998</v>
      </c>
      <c r="D32" s="27">
        <f t="shared" si="2"/>
        <v>1.1185031185031187</v>
      </c>
      <c r="E32" s="27">
        <f t="shared" si="3"/>
        <v>0.18641718641718644</v>
      </c>
    </row>
    <row r="33" spans="2:5" x14ac:dyDescent="0.3">
      <c r="B33" s="17">
        <v>7</v>
      </c>
      <c r="C33" s="23">
        <v>0.48099999999999998</v>
      </c>
      <c r="D33" s="27">
        <f t="shared" si="2"/>
        <v>1.1185031185031187</v>
      </c>
      <c r="E33" s="27">
        <f t="shared" si="3"/>
        <v>0.15978615978615981</v>
      </c>
    </row>
    <row r="34" spans="2:5" x14ac:dyDescent="0.3">
      <c r="B34" s="17">
        <v>8</v>
      </c>
      <c r="C34" s="23">
        <v>0.46100000000000002</v>
      </c>
      <c r="D34" s="27">
        <f t="shared" si="2"/>
        <v>1.1670281995661604</v>
      </c>
      <c r="E34" s="27">
        <f t="shared" si="3"/>
        <v>0.14587852494577006</v>
      </c>
    </row>
    <row r="35" spans="2:5" x14ac:dyDescent="0.3">
      <c r="B35" s="18">
        <v>9</v>
      </c>
      <c r="C35" s="23">
        <v>0.47</v>
      </c>
      <c r="D35" s="27">
        <f t="shared" si="2"/>
        <v>1.14468085106383</v>
      </c>
      <c r="E35" s="27">
        <f t="shared" si="3"/>
        <v>0.12718676122931444</v>
      </c>
    </row>
    <row r="36" spans="2:5" x14ac:dyDescent="0.3">
      <c r="B36" s="17">
        <v>10</v>
      </c>
      <c r="C36" s="23">
        <v>0.46100000000000002</v>
      </c>
      <c r="D36" s="27">
        <f t="shared" si="2"/>
        <v>1.1670281995661604</v>
      </c>
      <c r="E36" s="27">
        <f t="shared" si="3"/>
        <v>0.11670281995661605</v>
      </c>
    </row>
    <row r="37" spans="2:5" x14ac:dyDescent="0.3">
      <c r="B37" s="17">
        <v>11</v>
      </c>
      <c r="C37" s="23">
        <v>0.45700000000000002</v>
      </c>
      <c r="D37" s="27">
        <f t="shared" si="2"/>
        <v>1.1772428884026258</v>
      </c>
      <c r="E37" s="27">
        <f t="shared" si="3"/>
        <v>0.10702208076387508</v>
      </c>
    </row>
    <row r="38" spans="2:5" x14ac:dyDescent="0.3">
      <c r="B38" s="17">
        <v>12</v>
      </c>
      <c r="C38" s="23">
        <v>0.46899999999999997</v>
      </c>
      <c r="D38" s="27">
        <f t="shared" si="2"/>
        <v>1.1471215351812367</v>
      </c>
      <c r="E38" s="27">
        <f t="shared" si="3"/>
        <v>9.5593461265103055E-2</v>
      </c>
    </row>
    <row r="39" spans="2:5" x14ac:dyDescent="0.3">
      <c r="B39" s="18">
        <v>13</v>
      </c>
      <c r="C39" s="23">
        <v>0.46200000000000002</v>
      </c>
      <c r="D39" s="27">
        <f t="shared" si="2"/>
        <v>1.1645021645021645</v>
      </c>
      <c r="E39" s="27">
        <f t="shared" si="3"/>
        <v>8.9577089577089569E-2</v>
      </c>
    </row>
    <row r="40" spans="2:5" x14ac:dyDescent="0.3">
      <c r="B40" s="17">
        <v>14</v>
      </c>
      <c r="C40" s="23">
        <v>0.45800000000000002</v>
      </c>
      <c r="D40" s="27">
        <f t="shared" si="2"/>
        <v>1.1746724890829694</v>
      </c>
      <c r="E40" s="27">
        <f t="shared" si="3"/>
        <v>8.3905177791640667E-2</v>
      </c>
    </row>
    <row r="41" spans="2:5" x14ac:dyDescent="0.3">
      <c r="B41" s="18">
        <v>15</v>
      </c>
      <c r="C41" s="23">
        <v>0.46800000000000003</v>
      </c>
      <c r="D41" s="27">
        <f t="shared" si="2"/>
        <v>1.1495726495726495</v>
      </c>
      <c r="E41" s="27">
        <f t="shared" si="3"/>
        <v>7.6638176638176639E-2</v>
      </c>
    </row>
    <row r="42" spans="2:5" ht="15" thickBot="1" x14ac:dyDescent="0.35">
      <c r="B42" s="19">
        <v>16</v>
      </c>
      <c r="C42" s="24">
        <v>0.48599999999999999</v>
      </c>
      <c r="D42" s="21">
        <f t="shared" si="2"/>
        <v>1.1069958847736627</v>
      </c>
      <c r="E42" s="21">
        <f>$D42/$B42</f>
        <v>6.9187242798353921E-2</v>
      </c>
    </row>
    <row r="43" spans="2:5" x14ac:dyDescent="0.3">
      <c r="D43" s="7"/>
    </row>
    <row r="44" spans="2:5" ht="15" thickBot="1" x14ac:dyDescent="0.35"/>
    <row r="45" spans="2:5" ht="16.2" thickBot="1" x14ac:dyDescent="0.35">
      <c r="B45" s="8" t="s">
        <v>6</v>
      </c>
      <c r="C45" s="9"/>
      <c r="D45" s="9"/>
      <c r="E45" s="10"/>
    </row>
    <row r="46" spans="2:5" ht="24.6" customHeight="1" x14ac:dyDescent="0.3">
      <c r="B46" s="1" t="s">
        <v>1</v>
      </c>
      <c r="C46" s="11" t="s">
        <v>2</v>
      </c>
      <c r="D46" s="13" t="s">
        <v>3</v>
      </c>
      <c r="E46" s="31" t="s">
        <v>4</v>
      </c>
    </row>
    <row r="47" spans="2:5" ht="24.6" customHeight="1" thickBot="1" x14ac:dyDescent="0.35">
      <c r="B47" s="2"/>
      <c r="C47" s="12"/>
      <c r="D47" s="14"/>
      <c r="E47" s="32"/>
    </row>
    <row r="48" spans="2:5" x14ac:dyDescent="0.3">
      <c r="B48" s="16">
        <v>1</v>
      </c>
      <c r="C48" s="22">
        <v>0.53900000000000003</v>
      </c>
      <c r="D48" s="27">
        <f>$C$48/$C48</f>
        <v>1</v>
      </c>
      <c r="E48" s="27">
        <f>$D48/$B48</f>
        <v>1</v>
      </c>
    </row>
    <row r="49" spans="2:5" x14ac:dyDescent="0.3">
      <c r="B49" s="17">
        <v>2</v>
      </c>
      <c r="C49" s="23">
        <v>0.28199999999999997</v>
      </c>
      <c r="D49" s="27">
        <f t="shared" ref="D49:D63" si="4">$C$48/$C49</f>
        <v>1.9113475177304968</v>
      </c>
      <c r="E49" s="27">
        <f t="shared" ref="E49:E63" si="5">$D49/$B49</f>
        <v>0.95567375886524841</v>
      </c>
    </row>
    <row r="50" spans="2:5" x14ac:dyDescent="0.3">
      <c r="B50" s="17">
        <v>3</v>
      </c>
      <c r="C50" s="23">
        <v>0.27700000000000002</v>
      </c>
      <c r="D50" s="27">
        <f t="shared" si="4"/>
        <v>1.9458483754512634</v>
      </c>
      <c r="E50" s="27">
        <f t="shared" si="5"/>
        <v>0.64861612515042111</v>
      </c>
    </row>
    <row r="51" spans="2:5" x14ac:dyDescent="0.3">
      <c r="B51" s="17">
        <v>4</v>
      </c>
      <c r="C51" s="23">
        <v>0.28199999999999997</v>
      </c>
      <c r="D51" s="27">
        <f t="shared" si="4"/>
        <v>1.9113475177304968</v>
      </c>
      <c r="E51" s="27">
        <f t="shared" si="5"/>
        <v>0.47783687943262421</v>
      </c>
    </row>
    <row r="52" spans="2:5" x14ac:dyDescent="0.3">
      <c r="B52" s="18">
        <v>5</v>
      </c>
      <c r="C52" s="23">
        <v>0.26800000000000002</v>
      </c>
      <c r="D52" s="27">
        <f t="shared" si="4"/>
        <v>2.0111940298507465</v>
      </c>
      <c r="E52" s="27">
        <f t="shared" si="5"/>
        <v>0.40223880597014927</v>
      </c>
    </row>
    <row r="53" spans="2:5" x14ac:dyDescent="0.3">
      <c r="B53" s="17">
        <v>6</v>
      </c>
      <c r="C53" s="23">
        <v>0.255</v>
      </c>
      <c r="D53" s="27">
        <f t="shared" si="4"/>
        <v>2.1137254901960785</v>
      </c>
      <c r="E53" s="27">
        <f t="shared" si="5"/>
        <v>0.35228758169934643</v>
      </c>
    </row>
    <row r="54" spans="2:5" x14ac:dyDescent="0.3">
      <c r="B54" s="17">
        <v>7</v>
      </c>
      <c r="C54" s="23">
        <v>0.26300000000000001</v>
      </c>
      <c r="D54" s="27">
        <f t="shared" si="4"/>
        <v>2.0494296577946769</v>
      </c>
      <c r="E54" s="27">
        <f t="shared" si="5"/>
        <v>0.29277566539923955</v>
      </c>
    </row>
    <row r="55" spans="2:5" x14ac:dyDescent="0.3">
      <c r="B55" s="17">
        <v>8</v>
      </c>
      <c r="C55" s="23">
        <v>0.25800000000000001</v>
      </c>
      <c r="D55" s="27">
        <f t="shared" si="4"/>
        <v>2.0891472868217056</v>
      </c>
      <c r="E55" s="27">
        <f t="shared" si="5"/>
        <v>0.2611434108527132</v>
      </c>
    </row>
    <row r="56" spans="2:5" x14ac:dyDescent="0.3">
      <c r="B56" s="18">
        <v>9</v>
      </c>
      <c r="C56" s="23">
        <v>0.30099999999999999</v>
      </c>
      <c r="D56" s="27">
        <f t="shared" si="4"/>
        <v>1.7906976744186047</v>
      </c>
      <c r="E56" s="27">
        <f t="shared" si="5"/>
        <v>0.19896640826873385</v>
      </c>
    </row>
    <row r="57" spans="2:5" x14ac:dyDescent="0.3">
      <c r="B57" s="17">
        <v>10</v>
      </c>
      <c r="C57" s="23">
        <v>0.26300000000000001</v>
      </c>
      <c r="D57" s="27">
        <f t="shared" si="4"/>
        <v>2.0494296577946769</v>
      </c>
      <c r="E57" s="27">
        <f t="shared" si="5"/>
        <v>0.20494296577946769</v>
      </c>
    </row>
    <row r="58" spans="2:5" x14ac:dyDescent="0.3">
      <c r="B58" s="17">
        <v>11</v>
      </c>
      <c r="C58" s="23">
        <v>0.252</v>
      </c>
      <c r="D58" s="27">
        <f t="shared" si="4"/>
        <v>2.1388888888888888</v>
      </c>
      <c r="E58" s="27">
        <f t="shared" si="5"/>
        <v>0.19444444444444445</v>
      </c>
    </row>
    <row r="59" spans="2:5" x14ac:dyDescent="0.3">
      <c r="B59" s="17">
        <v>12</v>
      </c>
      <c r="C59" s="23">
        <v>0.25700000000000001</v>
      </c>
      <c r="D59" s="27">
        <f t="shared" si="4"/>
        <v>2.0972762645914398</v>
      </c>
      <c r="E59" s="27">
        <f t="shared" si="5"/>
        <v>0.17477302204928666</v>
      </c>
    </row>
    <row r="60" spans="2:5" x14ac:dyDescent="0.3">
      <c r="B60" s="18">
        <v>13</v>
      </c>
      <c r="C60" s="23">
        <v>0.26500000000000001</v>
      </c>
      <c r="D60" s="27">
        <f t="shared" si="4"/>
        <v>2.0339622641509436</v>
      </c>
      <c r="E60" s="27">
        <f t="shared" si="5"/>
        <v>0.15645863570391874</v>
      </c>
    </row>
    <row r="61" spans="2:5" x14ac:dyDescent="0.3">
      <c r="B61" s="17">
        <v>14</v>
      </c>
      <c r="C61" s="23">
        <v>0.26400000000000001</v>
      </c>
      <c r="D61" s="27">
        <f t="shared" si="4"/>
        <v>2.0416666666666665</v>
      </c>
      <c r="E61" s="27">
        <f t="shared" si="5"/>
        <v>0.14583333333333331</v>
      </c>
    </row>
    <row r="62" spans="2:5" x14ac:dyDescent="0.3">
      <c r="B62" s="18">
        <v>15</v>
      </c>
      <c r="C62" s="23">
        <v>0.25800000000000001</v>
      </c>
      <c r="D62" s="27">
        <f t="shared" si="4"/>
        <v>2.0891472868217056</v>
      </c>
      <c r="E62" s="27">
        <f t="shared" si="5"/>
        <v>0.13927648578811372</v>
      </c>
    </row>
    <row r="63" spans="2:5" ht="15" thickBot="1" x14ac:dyDescent="0.35">
      <c r="B63" s="19">
        <v>16</v>
      </c>
      <c r="C63" s="24">
        <v>0.26300000000000001</v>
      </c>
      <c r="D63" s="21">
        <f t="shared" si="4"/>
        <v>2.0494296577946769</v>
      </c>
      <c r="E63" s="21">
        <f>$D63/$B63</f>
        <v>0.12808935361216731</v>
      </c>
    </row>
    <row r="64" spans="2:5" x14ac:dyDescent="0.3">
      <c r="D64" s="7"/>
    </row>
    <row r="65" spans="2:5" ht="15" thickBot="1" x14ac:dyDescent="0.35"/>
    <row r="66" spans="2:5" ht="16.2" thickBot="1" x14ac:dyDescent="0.35">
      <c r="B66" s="8" t="s">
        <v>7</v>
      </c>
      <c r="C66" s="9"/>
      <c r="D66" s="9"/>
      <c r="E66" s="10"/>
    </row>
    <row r="67" spans="2:5" ht="26.4" customHeight="1" x14ac:dyDescent="0.3">
      <c r="B67" s="1" t="s">
        <v>1</v>
      </c>
      <c r="C67" s="11" t="s">
        <v>2</v>
      </c>
      <c r="D67" s="13" t="s">
        <v>3</v>
      </c>
      <c r="E67" s="31" t="s">
        <v>4</v>
      </c>
    </row>
    <row r="68" spans="2:5" ht="26.4" customHeight="1" thickBot="1" x14ac:dyDescent="0.35">
      <c r="B68" s="2"/>
      <c r="C68" s="12"/>
      <c r="D68" s="14"/>
      <c r="E68" s="32"/>
    </row>
    <row r="69" spans="2:5" x14ac:dyDescent="0.3">
      <c r="B69" s="16">
        <v>1</v>
      </c>
      <c r="C69" s="22">
        <v>0.52200000000000002</v>
      </c>
      <c r="D69" s="27">
        <f>$C$69/$C69</f>
        <v>1</v>
      </c>
      <c r="E69" s="27">
        <f>$D69/$B69</f>
        <v>1</v>
      </c>
    </row>
    <row r="70" spans="2:5" x14ac:dyDescent="0.3">
      <c r="B70" s="17">
        <v>2</v>
      </c>
      <c r="C70" s="23">
        <v>0.29899999999999999</v>
      </c>
      <c r="D70" s="27">
        <f t="shared" ref="D70:D84" si="6">$C$69/$C70</f>
        <v>1.7458193979933112</v>
      </c>
      <c r="E70" s="27">
        <f t="shared" ref="E70:E84" si="7">$D70/$B70</f>
        <v>0.8729096989966556</v>
      </c>
    </row>
    <row r="71" spans="2:5" x14ac:dyDescent="0.3">
      <c r="B71" s="17">
        <v>3</v>
      </c>
      <c r="C71" s="23">
        <v>0.26500000000000001</v>
      </c>
      <c r="D71" s="27">
        <f t="shared" si="6"/>
        <v>1.969811320754717</v>
      </c>
      <c r="E71" s="27">
        <f t="shared" si="7"/>
        <v>0.65660377358490563</v>
      </c>
    </row>
    <row r="72" spans="2:5" x14ac:dyDescent="0.3">
      <c r="B72" s="17">
        <v>4</v>
      </c>
      <c r="C72" s="23">
        <v>0.24199999999999999</v>
      </c>
      <c r="D72" s="27">
        <f t="shared" si="6"/>
        <v>2.1570247933884299</v>
      </c>
      <c r="E72" s="27">
        <f t="shared" si="7"/>
        <v>0.53925619834710747</v>
      </c>
    </row>
    <row r="73" spans="2:5" x14ac:dyDescent="0.3">
      <c r="B73" s="18">
        <v>5</v>
      </c>
      <c r="C73" s="23">
        <v>0.251</v>
      </c>
      <c r="D73" s="27">
        <f t="shared" si="6"/>
        <v>2.0796812749003983</v>
      </c>
      <c r="E73" s="27">
        <f t="shared" si="7"/>
        <v>0.41593625498007969</v>
      </c>
    </row>
    <row r="74" spans="2:5" x14ac:dyDescent="0.3">
      <c r="B74" s="17">
        <v>6</v>
      </c>
      <c r="C74" s="23">
        <v>0.253</v>
      </c>
      <c r="D74" s="27">
        <f t="shared" si="6"/>
        <v>2.0632411067193677</v>
      </c>
      <c r="E74" s="27">
        <f t="shared" si="7"/>
        <v>0.34387351778656128</v>
      </c>
    </row>
    <row r="75" spans="2:5" x14ac:dyDescent="0.3">
      <c r="B75" s="17">
        <v>7</v>
      </c>
      <c r="C75" s="23">
        <v>0.253</v>
      </c>
      <c r="D75" s="27">
        <f t="shared" si="6"/>
        <v>2.0632411067193677</v>
      </c>
      <c r="E75" s="27">
        <f t="shared" si="7"/>
        <v>0.29474872953133824</v>
      </c>
    </row>
    <row r="76" spans="2:5" x14ac:dyDescent="0.3">
      <c r="B76" s="17">
        <v>8</v>
      </c>
      <c r="C76" s="23">
        <v>0.248</v>
      </c>
      <c r="D76" s="27">
        <f t="shared" si="6"/>
        <v>2.1048387096774195</v>
      </c>
      <c r="E76" s="27">
        <f t="shared" si="7"/>
        <v>0.26310483870967744</v>
      </c>
    </row>
    <row r="77" spans="2:5" x14ac:dyDescent="0.3">
      <c r="B77" s="18">
        <v>9</v>
      </c>
      <c r="C77" s="23">
        <v>0.25</v>
      </c>
      <c r="D77" s="27">
        <f t="shared" si="6"/>
        <v>2.0880000000000001</v>
      </c>
      <c r="E77" s="27">
        <f t="shared" si="7"/>
        <v>0.23200000000000001</v>
      </c>
    </row>
    <row r="78" spans="2:5" x14ac:dyDescent="0.3">
      <c r="B78" s="17">
        <v>10</v>
      </c>
      <c r="C78" s="23">
        <v>0.25</v>
      </c>
      <c r="D78" s="27">
        <f t="shared" si="6"/>
        <v>2.0880000000000001</v>
      </c>
      <c r="E78" s="27">
        <f t="shared" si="7"/>
        <v>0.20880000000000001</v>
      </c>
    </row>
    <row r="79" spans="2:5" x14ac:dyDescent="0.3">
      <c r="B79" s="17">
        <v>11</v>
      </c>
      <c r="C79" s="23">
        <v>0.26</v>
      </c>
      <c r="D79" s="27">
        <f t="shared" si="6"/>
        <v>2.0076923076923077</v>
      </c>
      <c r="E79" s="27">
        <f t="shared" si="7"/>
        <v>0.18251748251748251</v>
      </c>
    </row>
    <row r="80" spans="2:5" x14ac:dyDescent="0.3">
      <c r="B80" s="17">
        <v>12</v>
      </c>
      <c r="C80" s="23">
        <v>0.246</v>
      </c>
      <c r="D80" s="27">
        <f t="shared" si="6"/>
        <v>2.1219512195121952</v>
      </c>
      <c r="E80" s="27">
        <f t="shared" si="7"/>
        <v>0.17682926829268295</v>
      </c>
    </row>
    <row r="81" spans="2:5" x14ac:dyDescent="0.3">
      <c r="B81" s="18">
        <v>13</v>
      </c>
      <c r="C81" s="23">
        <v>0.25900000000000001</v>
      </c>
      <c r="D81" s="27">
        <f t="shared" si="6"/>
        <v>2.0154440154440154</v>
      </c>
      <c r="E81" s="27">
        <f t="shared" si="7"/>
        <v>0.15503415503415502</v>
      </c>
    </row>
    <row r="82" spans="2:5" x14ac:dyDescent="0.3">
      <c r="B82" s="17">
        <v>14</v>
      </c>
      <c r="C82" s="23">
        <v>0.25</v>
      </c>
      <c r="D82" s="27">
        <f t="shared" si="6"/>
        <v>2.0880000000000001</v>
      </c>
      <c r="E82" s="27">
        <f t="shared" si="7"/>
        <v>0.14914285714285716</v>
      </c>
    </row>
    <row r="83" spans="2:5" x14ac:dyDescent="0.3">
      <c r="B83" s="18">
        <v>15</v>
      </c>
      <c r="C83" s="23">
        <v>0.254</v>
      </c>
      <c r="D83" s="27">
        <f t="shared" si="6"/>
        <v>2.0551181102362204</v>
      </c>
      <c r="E83" s="27">
        <f t="shared" si="7"/>
        <v>0.13700787401574802</v>
      </c>
    </row>
    <row r="84" spans="2:5" ht="15" thickBot="1" x14ac:dyDescent="0.35">
      <c r="B84" s="19">
        <v>16</v>
      </c>
      <c r="C84" s="24">
        <v>0.24199999999999999</v>
      </c>
      <c r="D84" s="21">
        <f t="shared" si="6"/>
        <v>2.1570247933884299</v>
      </c>
      <c r="E84" s="21">
        <f>$D84/$B84</f>
        <v>0.13481404958677687</v>
      </c>
    </row>
    <row r="85" spans="2:5" x14ac:dyDescent="0.3">
      <c r="D85" s="7"/>
    </row>
  </sheetData>
  <mergeCells count="20">
    <mergeCell ref="B46:B47"/>
    <mergeCell ref="C46:C47"/>
    <mergeCell ref="D46:D47"/>
    <mergeCell ref="E46:E47"/>
    <mergeCell ref="B66:E66"/>
    <mergeCell ref="B67:B68"/>
    <mergeCell ref="C67:C68"/>
    <mergeCell ref="D67:D68"/>
    <mergeCell ref="E67:E68"/>
    <mergeCell ref="B24:E24"/>
    <mergeCell ref="B25:B26"/>
    <mergeCell ref="C25:C26"/>
    <mergeCell ref="D25:D26"/>
    <mergeCell ref="E25:E26"/>
    <mergeCell ref="B45:E45"/>
    <mergeCell ref="B3:E3"/>
    <mergeCell ref="B4:B5"/>
    <mergeCell ref="C4:C5"/>
    <mergeCell ref="D4:D5"/>
    <mergeCell ref="E4:E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Dutell Shiro</dc:creator>
  <cp:lastModifiedBy>Dutell Shiro</cp:lastModifiedBy>
  <dcterms:created xsi:type="dcterms:W3CDTF">2025-10-09T10:55:15Z</dcterms:created>
  <dcterms:modified xsi:type="dcterms:W3CDTF">2025-10-09T13:57:20Z</dcterms:modified>
</cp:coreProperties>
</file>